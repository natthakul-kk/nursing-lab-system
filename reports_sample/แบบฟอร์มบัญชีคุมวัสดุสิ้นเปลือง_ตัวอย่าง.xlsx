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บัญชีคุมวัสดุสิ้นเปลือ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/>
  </sheetViews>
  <cols>
    <col min="1" max="1" width="6.83203125" customWidth="1"/>
    <col min="2" max="2" width="18.83203125" customWidth="1"/>
    <col min="3" max="3" width="38.83203125" customWidth="1"/>
    <col min="4" max="4" width="22.83203125" customWidth="1"/>
    <col min="5" max="5" width="12.83203125" customWidth="1"/>
    <col min="6" max="6" width="28.83203125" customWidth="1"/>
    <col min="7" max="7" width="18.83203125" customWidth="1"/>
    <col min="8" max="8" width="14.83203125" customWidth="1"/>
    <col min="9" max="9" width="14.83203125" customWidth="1"/>
    <col min="10" max="10" width="18.83203125" customWidth="1"/>
    <col min="11" max="11" width="18.83203125" customWidth="1"/>
    <col min="12" max="12" width="16.83203125" customWidth="1"/>
    <col min="13" max="13" width="28.83203125" customWidth="1"/>
  </cols>
  <sheetData>
    <row r="1">
      <c r="A1" t="str">
        <v>บัญชีคุมวัสดุสิ้นเปลืองและเวชภัณฑ์ทางการพยาบาล (Stock Inventory Report)</v>
      </c>
    </row>
    <row r="2">
      <c r="A2" t="str">
        <v>ส่วนราชการ: คณะพยาบาลศาสตร์       หน่วยงานผู้ครอบครอง: ศูนย์ฝึกทักษะการพยาบาล (Nursing Lab)       ประเภท: วัสดุการแพทย์และเวชภัณฑ์สิ้นเปลือง</v>
      </c>
    </row>
    <row r="3">
      <c r="A3" t="str">
        <v>ข้อมูล ณ วันที่: 30 กันยายน 2569       ปีงบประมาณ: 2569       ผู้จัดทำรายงาน: เจ้าหน้าที่ห้องปฏิบัติการทางการพยาบาล</v>
      </c>
    </row>
    <row r="5">
      <c r="A5" t="str">
        <v>ลำดับ</v>
      </c>
      <c r="B5" t="str">
        <v>รหัสพัสดุ</v>
      </c>
      <c r="C5" t="str">
        <v>รายการ / ชื่อวัสดุสิ้นเปลือง</v>
      </c>
      <c r="D5" t="str">
        <v>หมวดหมู่</v>
      </c>
      <c r="E5" t="str">
        <v>หน่วยนับ</v>
      </c>
      <c r="F5" t="str">
        <v>สถานที่จัดเก็บ / ตู้</v>
      </c>
      <c r="G5" t="str">
        <v>หมายเลขล็อต (Lot No.)</v>
      </c>
      <c r="H5" t="str">
        <v>วันหมดอายุ</v>
      </c>
      <c r="I5" t="str">
        <v>ยอดคงเหลือ</v>
      </c>
      <c r="J5" t="str">
        <v>ราคาต่อหน่วย (บาท)</v>
      </c>
      <c r="K5" t="str">
        <v>มูลค่ารวม (บาท)</v>
      </c>
      <c r="L5" t="str">
        <v>สถานะคงคลัง</v>
      </c>
      <c r="M5" t="str">
        <v>หมายเหตุ</v>
      </c>
    </row>
    <row r="6">
      <c r="A6">
        <v>1</v>
      </c>
      <c r="B6" t="str">
        <v>CS-D5W-100</v>
      </c>
      <c r="C6" t="str">
        <v>D-5-W ขวดเล็ก</v>
      </c>
      <c r="D6" t="str">
        <v>สารน้ำ</v>
      </c>
      <c r="E6" t="str">
        <v>ขวด</v>
      </c>
      <c r="F6" t="str">
        <v>ห้องเก็บของ</v>
      </c>
      <c r="G6" t="str">
        <v>อว 6501.38/1106</v>
      </c>
      <c r="H6" t="str">
        <v>-</v>
      </c>
      <c r="I6">
        <v>20</v>
      </c>
      <c r="J6">
        <v>25</v>
      </c>
      <c r="K6">
        <f>I6*J6</f>
      </c>
      <c r="L6" t="str">
        <v>ปกติ</v>
      </c>
      <c r="M6" t="str">
        <v>ผู้จำหน่าย: ร้านเพชรัตน์ ศิริราช (บริษัท โนเวลชายน์จำกัด สำนักงานใหญ่)</v>
      </c>
    </row>
    <row r="7">
      <c r="A7">
        <v>2</v>
      </c>
      <c r="B7" t="str">
        <v>CS-D5W-1000</v>
      </c>
      <c r="C7" t="str">
        <v>D-5-W ขวดใหญ่</v>
      </c>
      <c r="D7" t="str">
        <v>สารน้ำ</v>
      </c>
      <c r="E7" t="str">
        <v>ขวด</v>
      </c>
      <c r="F7" t="str">
        <v>ห้องเก็บของ</v>
      </c>
      <c r="G7" t="str">
        <v>อว 6501.38/1429</v>
      </c>
      <c r="H7" t="str">
        <v>-</v>
      </c>
      <c r="I7">
        <v>20</v>
      </c>
      <c r="J7">
        <v>50</v>
      </c>
      <c r="K7">
        <f>I7*J7</f>
      </c>
      <c r="L7" t="str">
        <v>ปกติ</v>
      </c>
      <c r="M7" t="str">
        <v>ผู้จำหน่าย: ร้านเพชรัตน์ ศิริราช (บริษัท โนเวลชายน์จำกัด สำนักงานใหญ่)</v>
      </c>
    </row>
    <row r="8">
      <c r="A8">
        <v>3</v>
      </c>
      <c r="B8" t="str">
        <v>CS-D5W-1000</v>
      </c>
      <c r="C8" t="str">
        <v>D-5-W ขวดใหญ่</v>
      </c>
      <c r="D8" t="str">
        <v>สารน้ำ</v>
      </c>
      <c r="E8" t="str">
        <v>ขวด</v>
      </c>
      <c r="F8" t="str">
        <v>ห้องเก็บของ</v>
      </c>
      <c r="G8" t="str">
        <v>อว 6501.38/1106</v>
      </c>
      <c r="H8" t="str">
        <v>-</v>
      </c>
      <c r="I8">
        <v>10</v>
      </c>
      <c r="J8">
        <v>45</v>
      </c>
      <c r="K8">
        <f>I8*J8</f>
      </c>
      <c r="L8" t="str">
        <v>ต่ำกว่าเกณฑ์</v>
      </c>
      <c r="M8" t="str">
        <v>ผู้จำหน่าย: ร้านเพชรัตน์ ศิริราช (บริษัท โนเวลชายน์จำกัด สำนักงานใหญ่)</v>
      </c>
    </row>
    <row r="9">
      <c r="A9">
        <v>4</v>
      </c>
      <c r="B9" t="str">
        <v>CS-IV-EXT</v>
      </c>
      <c r="C9" t="str">
        <v>Extension Tube</v>
      </c>
      <c r="D9" t="str">
        <v>อุปกรณ์ให้ IV</v>
      </c>
      <c r="E9" t="str">
        <v>เซต</v>
      </c>
      <c r="F9" t="str">
        <v>ศูนย์ฝึกทักษะการพยาบาล</v>
      </c>
      <c r="G9" t="str">
        <v>9999</v>
      </c>
      <c r="H9" t="str">
        <v>-</v>
      </c>
      <c r="I9">
        <v>100</v>
      </c>
      <c r="J9">
        <v>0</v>
      </c>
      <c r="K9">
        <f>I9*J9</f>
      </c>
      <c r="L9" t="str">
        <v>ต่ำกว่าเกณฑ์</v>
      </c>
      <c r="M9" t="str">
        <v>ผู้จำหน่าย: บริจาค</v>
      </c>
    </row>
    <row r="10">
      <c r="A10">
        <v>5</v>
      </c>
      <c r="B10" t="str">
        <v>CS-FXM-001</v>
      </c>
      <c r="C10" t="str">
        <v>FIXOMULL</v>
      </c>
      <c r="D10" t="str">
        <v>พลาสเตอร์ เทป</v>
      </c>
      <c r="E10" t="str">
        <v>ม้วน</v>
      </c>
      <c r="F10" t="str">
        <v>ห้องเก็บของ</v>
      </c>
      <c r="G10" t="str">
        <v>อว 6501.38/0945</v>
      </c>
      <c r="H10" t="str">
        <v>-</v>
      </c>
      <c r="I10">
        <v>1</v>
      </c>
      <c r="J10">
        <v>210</v>
      </c>
      <c r="K10">
        <f>I10*J10</f>
      </c>
      <c r="L10" t="str">
        <v>ต่ำกว่าเกณฑ์</v>
      </c>
      <c r="M10" t="str">
        <v>ผู้จำหน่าย: ร้านเพชรัตน์ ศิริราช (บริษัท โนเวลชายน์จำกัด สำนักงานใหญ่)</v>
      </c>
    </row>
    <row r="11">
      <c r="A11">
        <v>6</v>
      </c>
      <c r="B11" t="str">
        <v>CS-NSS-10</v>
      </c>
      <c r="C11" t="str">
        <v>NSS 10 mL</v>
      </c>
      <c r="D11" t="str">
        <v>สารน้ำ</v>
      </c>
      <c r="E11" t="str">
        <v>กล่อง</v>
      </c>
      <c r="F11" t="str">
        <v>ศูนย์ฝึกทักษะการพยาบาล</v>
      </c>
      <c r="G11" t="str">
        <v>9999</v>
      </c>
      <c r="H11" t="str">
        <v>-</v>
      </c>
      <c r="I11">
        <v>3</v>
      </c>
      <c r="J11">
        <v>0</v>
      </c>
      <c r="K11">
        <f>I11*J11</f>
      </c>
      <c r="L11" t="str">
        <v>ต่ำกว่าเกณฑ์</v>
      </c>
      <c r="M11" t="str">
        <v>ผู้จำหน่าย: บริจาค</v>
      </c>
    </row>
    <row r="12">
      <c r="A12">
        <v>7</v>
      </c>
      <c r="B12" t="str">
        <v>CS-NSS-05</v>
      </c>
      <c r="C12" t="str">
        <v>NSS 5 mL</v>
      </c>
      <c r="D12" t="str">
        <v>สารน้ำ</v>
      </c>
      <c r="E12" t="str">
        <v>กล่อง</v>
      </c>
      <c r="F12" t="str">
        <v>ศูนย์ฝึกทักษะการพยาบาล</v>
      </c>
      <c r="G12" t="str">
        <v>9999</v>
      </c>
      <c r="H12" t="str">
        <v>-</v>
      </c>
      <c r="I12">
        <v>3</v>
      </c>
      <c r="J12">
        <v>0</v>
      </c>
      <c r="K12">
        <f>I12*J12</f>
      </c>
      <c r="L12" t="str">
        <v>ต่ำกว่าเกณฑ์</v>
      </c>
      <c r="M12" t="str">
        <v>ผู้จำหน่าย: บริจาค</v>
      </c>
    </row>
    <row r="13">
      <c r="A13">
        <v>8</v>
      </c>
      <c r="B13" t="str">
        <v>CS-NSS-100</v>
      </c>
      <c r="C13" t="str">
        <v>NSS สำหรับให้ IV ขวดเล็ก</v>
      </c>
      <c r="D13" t="str">
        <v>สารน้ำ</v>
      </c>
      <c r="E13" t="str">
        <v>ขวด</v>
      </c>
      <c r="F13" t="str">
        <v>ศูนย์ฝึกทักษะการพยาบาล</v>
      </c>
      <c r="G13" t="str">
        <v>อว 6501.38/1429</v>
      </c>
      <c r="H13" t="str">
        <v>-</v>
      </c>
      <c r="I13">
        <v>40</v>
      </c>
      <c r="J13">
        <v>20</v>
      </c>
      <c r="K13">
        <f>I13*J13</f>
      </c>
      <c r="L13" t="str">
        <v>ปกติ</v>
      </c>
      <c r="M13" t="str">
        <v>ผู้จำหน่าย: ร้านเพชรัตน์ ศิริราช (บริษัท โนเวลชายน์จำกัด สำนักงานใหญ่)</v>
      </c>
    </row>
    <row r="14">
      <c r="A14">
        <v>9</v>
      </c>
      <c r="B14" t="str">
        <v>CS-NSS-100</v>
      </c>
      <c r="C14" t="str">
        <v>NSS สำหรับให้ IV ขวดเล็ก</v>
      </c>
      <c r="D14" t="str">
        <v>สารน้ำ</v>
      </c>
      <c r="E14" t="str">
        <v>ขวด</v>
      </c>
      <c r="F14" t="str">
        <v>ศูนย์ฝึกทักษะการพยาบาล</v>
      </c>
      <c r="G14" t="str">
        <v>อว 6501.38/1106</v>
      </c>
      <c r="H14" t="str">
        <v>-</v>
      </c>
      <c r="I14">
        <v>15</v>
      </c>
      <c r="J14">
        <v>20</v>
      </c>
      <c r="K14">
        <f>I14*J14</f>
      </c>
      <c r="L14" t="str">
        <v>ปกติ</v>
      </c>
      <c r="M14" t="str">
        <v>ผู้จำหน่าย: ร้านเพชรัตน์ ศิริราช (บริษัท โนเวลชายน์จำกัด สำนักงานใหญ่)</v>
      </c>
    </row>
    <row r="15">
      <c r="A15">
        <v>10</v>
      </c>
      <c r="B15" t="str">
        <v>CS-NSS-1000</v>
      </c>
      <c r="C15" t="str">
        <v>NSS สำหรับให้ IV ขวดใหญ่</v>
      </c>
      <c r="D15" t="str">
        <v>สารน้ำ</v>
      </c>
      <c r="E15" t="str">
        <v>ขวด</v>
      </c>
      <c r="F15" t="str">
        <v>ศูนย์ฝึกทักษะการพยาบาล</v>
      </c>
      <c r="G15" t="str">
        <v>อว 6501.38/1429</v>
      </c>
      <c r="H15" t="str">
        <v>-</v>
      </c>
      <c r="I15">
        <v>30</v>
      </c>
      <c r="J15">
        <v>40</v>
      </c>
      <c r="K15">
        <f>I15*J15</f>
      </c>
      <c r="L15" t="str">
        <v>ปกติ</v>
      </c>
      <c r="M15" t="str">
        <v>ผู้จำหน่าย: ร้านเพชรัตน์ ศิริราช (บริษัท โนเวลชายน์จำกัด สำนักงานใหญ่)</v>
      </c>
    </row>
    <row r="16">
      <c r="A16">
        <v>11</v>
      </c>
      <c r="B16" t="str">
        <v>CS-NSS-1000</v>
      </c>
      <c r="C16" t="str">
        <v>NSS สำหรับให้ IV ขวดใหญ่</v>
      </c>
      <c r="D16" t="str">
        <v>สารน้ำ</v>
      </c>
      <c r="E16" t="str">
        <v>ขวด</v>
      </c>
      <c r="F16" t="str">
        <v>ศูนย์ฝึกทักษะการพยาบาล</v>
      </c>
      <c r="G16" t="str">
        <v>อว 6501.38/1106</v>
      </c>
      <c r="H16" t="str">
        <v>-</v>
      </c>
      <c r="I16">
        <v>10</v>
      </c>
      <c r="J16">
        <v>40</v>
      </c>
      <c r="K16">
        <f>I16*J16</f>
      </c>
      <c r="L16" t="str">
        <v>ต่ำกว่าเกณฑ์</v>
      </c>
      <c r="M16" t="str">
        <v>ผู้จำหน่าย: ร้านเพชรัตน์ ศิริราช (บริษัท โนเวลชายน์จำกัด สำนักงานใหญ่)</v>
      </c>
    </row>
    <row r="17">
      <c r="A17">
        <v>12</v>
      </c>
      <c r="B17" t="str">
        <v>CS-SWI-10</v>
      </c>
      <c r="C17" t="str">
        <v>SWI 10 mL</v>
      </c>
      <c r="D17" t="str">
        <v>สารน้ำ</v>
      </c>
      <c r="E17" t="str">
        <v>กล่อง</v>
      </c>
      <c r="F17" t="str">
        <v>ศูนย์ฝึกทักษะการพยาบาล</v>
      </c>
      <c r="G17" t="str">
        <v>9999</v>
      </c>
      <c r="H17" t="str">
        <v>-</v>
      </c>
      <c r="I17">
        <v>17</v>
      </c>
      <c r="J17">
        <v>0</v>
      </c>
      <c r="K17">
        <f>I17*J17</f>
      </c>
      <c r="L17" t="str">
        <v>ปกติ</v>
      </c>
      <c r="M17" t="str">
        <v>ผู้จำหน่าย: บริจาค</v>
      </c>
    </row>
    <row r="18">
      <c r="A18">
        <v>13</v>
      </c>
      <c r="B18" t="str">
        <v>CS-SWI-05</v>
      </c>
      <c r="C18" t="str">
        <v>SWI 5 mL</v>
      </c>
      <c r="D18" t="str">
        <v>สารน้ำ</v>
      </c>
      <c r="E18" t="str">
        <v>กล่อง</v>
      </c>
      <c r="F18" t="str">
        <v>ศูนย์ฝึกทักษะการพยาบาล</v>
      </c>
      <c r="G18" t="str">
        <v>9999</v>
      </c>
      <c r="H18" t="str">
        <v>-</v>
      </c>
      <c r="I18">
        <v>1</v>
      </c>
      <c r="J18">
        <v>0</v>
      </c>
      <c r="K18">
        <f>I18*J18</f>
      </c>
      <c r="L18" t="str">
        <v>ต่ำกว่าเกณฑ์</v>
      </c>
      <c r="M18" t="str">
        <v>ผู้จำหน่าย: บริจาค</v>
      </c>
    </row>
    <row r="19">
      <c r="A19">
        <v>14</v>
      </c>
      <c r="B19" t="str">
        <v>CS-SWI-101</v>
      </c>
      <c r="C19" t="str">
        <v>SWI 500 mL</v>
      </c>
      <c r="D19" t="str">
        <v>สารน้ำ</v>
      </c>
      <c r="E19" t="str">
        <v>ขวด</v>
      </c>
      <c r="F19" t="str">
        <v>ศูนย์ฝึกทักษะการพยาบาล</v>
      </c>
      <c r="G19" t="str">
        <v>9999</v>
      </c>
      <c r="H19" t="str">
        <v>-</v>
      </c>
      <c r="I19">
        <v>26</v>
      </c>
      <c r="J19">
        <v>0</v>
      </c>
      <c r="K19">
        <f>I19*J19</f>
      </c>
      <c r="L19" t="str">
        <v>ปกติ</v>
      </c>
      <c r="M19" t="str">
        <v>ผู้จำหน่าย: บริจาค</v>
      </c>
    </row>
    <row r="20">
      <c r="A20">
        <v>15</v>
      </c>
      <c r="B20" t="str">
        <v>CON-GU-001</v>
      </c>
      <c r="C20" t="str">
        <v>ก๊อซทดสอบ</v>
      </c>
      <c r="D20" t="str">
        <v>ผ้าก๊อซ</v>
      </c>
      <c r="E20" t="str">
        <v>แพ๊ค</v>
      </c>
      <c r="F20" t="str">
        <v>ศูนย์ฝึกทักษะการพยาบาล</v>
      </c>
      <c r="G20" t="str">
        <v>111</v>
      </c>
      <c r="H20" t="str">
        <v>10/09/2569</v>
      </c>
      <c r="I20">
        <v>10</v>
      </c>
      <c r="J20">
        <v>100</v>
      </c>
      <c r="K20">
        <f>I20*J20</f>
      </c>
      <c r="L20" t="str">
        <v>ต่ำกว่าเกณฑ์</v>
      </c>
      <c r="M20" t="str">
        <v>-</v>
      </c>
    </row>
    <row r="21">
      <c r="A21">
        <v>16</v>
      </c>
      <c r="B21" t="str">
        <v>CON-GU-001</v>
      </c>
      <c r="C21" t="str">
        <v>ก๊อซทดสอบ</v>
      </c>
      <c r="D21" t="str">
        <v>ผ้าก๊อซ</v>
      </c>
      <c r="E21" t="str">
        <v>แพ๊ค</v>
      </c>
      <c r="F21" t="str">
        <v>ศูนย์ฝึกทักษะการพยาบาล</v>
      </c>
      <c r="G21" t="str">
        <v>1414</v>
      </c>
      <c r="H21" t="str">
        <v>11/09/2569</v>
      </c>
      <c r="I21">
        <v>10</v>
      </c>
      <c r="J21">
        <v>10</v>
      </c>
      <c r="K21">
        <f>I21*J21</f>
      </c>
      <c r="L21" t="str">
        <v>ต่ำกว่าเกณฑ์</v>
      </c>
      <c r="M21" t="str">
        <v>-</v>
      </c>
    </row>
    <row r="22">
      <c r="A22">
        <v>17</v>
      </c>
      <c r="B22" t="str">
        <v>CS-NDL-18-1</v>
      </c>
      <c r="C22" t="str">
        <v>เข็มฉีดยาเบอร์ 18 ความยาว 1 นิ้ว</v>
      </c>
      <c r="D22" t="str">
        <v>เข็มฉีดยา</v>
      </c>
      <c r="E22" t="str">
        <v>กล่อง</v>
      </c>
      <c r="F22" t="str">
        <v>ศูนย์ฝึกทักษะการพยาบาล</v>
      </c>
      <c r="G22" t="str">
        <v>อว 6501.38/1429</v>
      </c>
      <c r="H22" t="str">
        <v>-</v>
      </c>
      <c r="I22">
        <v>5</v>
      </c>
      <c r="J22">
        <v>65</v>
      </c>
      <c r="K22">
        <f>I22*J22</f>
      </c>
      <c r="L22" t="str">
        <v>ต่ำกว่าเกณฑ์</v>
      </c>
      <c r="M22" t="str">
        <v>ผู้จำหน่าย: ร้านเพชรัตน์ ศิริราช (บริษัท โนเวลชายน์จำกัด สำนักงานใหญ่)</v>
      </c>
    </row>
    <row r="23">
      <c r="A23">
        <v>18</v>
      </c>
      <c r="B23" t="str">
        <v>CS-NDL-20-1</v>
      </c>
      <c r="C23" t="str">
        <v>เข็มฉีดยาเบอร์ 20 ความยาว 1 นิ้ว</v>
      </c>
      <c r="D23" t="str">
        <v>เข็มฉีดยา</v>
      </c>
      <c r="E23" t="str">
        <v>กล่อง</v>
      </c>
      <c r="F23" t="str">
        <v>ศูนย์ฝึกทักษะการพยาบาล</v>
      </c>
      <c r="G23" t="str">
        <v>อว 6501.38/1429</v>
      </c>
      <c r="H23" t="str">
        <v>-</v>
      </c>
      <c r="I23">
        <v>1</v>
      </c>
      <c r="J23">
        <v>65</v>
      </c>
      <c r="K23">
        <f>I23*J23</f>
      </c>
      <c r="L23" t="str">
        <v>ต่ำกว่าเกณฑ์</v>
      </c>
      <c r="M23" t="str">
        <v>ผู้จำหน่าย: ร้านเพชรัตน์ ศิริราช (บริษัท โนเวลชายน์จำกัด สำนักงานใหญ่)</v>
      </c>
    </row>
    <row r="24">
      <c r="A24">
        <v>19</v>
      </c>
      <c r="B24" t="str">
        <v>CS-NDL-21-1</v>
      </c>
      <c r="C24" t="str">
        <v>เข็มฉีดยาเบอร์ 21 ความยาว 1 นิ้ว</v>
      </c>
      <c r="D24" t="str">
        <v>เข็มฉีดยา</v>
      </c>
      <c r="E24" t="str">
        <v>กล่อง</v>
      </c>
      <c r="F24" t="str">
        <v>ศูนย์ฝึกทักษะการพยาบาล</v>
      </c>
      <c r="G24" t="str">
        <v>9999</v>
      </c>
      <c r="H24" t="str">
        <v>-</v>
      </c>
      <c r="I24">
        <v>3</v>
      </c>
      <c r="J24">
        <v>0</v>
      </c>
      <c r="K24">
        <f>I24*J24</f>
      </c>
      <c r="L24" t="str">
        <v>ปกติ</v>
      </c>
      <c r="M24" t="str">
        <v>ผู้จำหน่าย: บริจาค</v>
      </c>
    </row>
    <row r="25">
      <c r="A25">
        <v>20</v>
      </c>
      <c r="B25" t="str">
        <v>CS-NDL-21-1</v>
      </c>
      <c r="C25" t="str">
        <v>เข็มฉีดยาเบอร์ 21 ความยาว 1 นิ้ว</v>
      </c>
      <c r="D25" t="str">
        <v>เข็มฉีดยา</v>
      </c>
      <c r="E25" t="str">
        <v>กล่อง</v>
      </c>
      <c r="F25" t="str">
        <v>ศูนย์ฝึกทักษะการพยาบาล</v>
      </c>
      <c r="G25" t="str">
        <v>อว 6501.38/1429</v>
      </c>
      <c r="H25" t="str">
        <v>-</v>
      </c>
      <c r="I25">
        <v>1</v>
      </c>
      <c r="J25">
        <v>65</v>
      </c>
      <c r="K25">
        <f>I25*J25</f>
      </c>
      <c r="L25" t="str">
        <v>ต่ำกว่าเกณฑ์</v>
      </c>
      <c r="M25" t="str">
        <v>ผู้จำหน่าย: ร้านเพชรัตน์ ศิริราช (บริษัท โนเวลชายน์จำกัด สำนักงานใหญ่)</v>
      </c>
    </row>
    <row r="26">
      <c r="A26">
        <v>21</v>
      </c>
      <c r="B26" t="str">
        <v>CS-NDL-21-15</v>
      </c>
      <c r="C26" t="str">
        <v>เข็มฉีดยาเบอร์ 21 ความยาว 1½ นิ้ว</v>
      </c>
      <c r="D26" t="str">
        <v>เข็มฉีดยา</v>
      </c>
      <c r="E26" t="str">
        <v>กล่อง</v>
      </c>
      <c r="F26" t="str">
        <v>ศูนย์ฝึกทักษะการพยาบาล</v>
      </c>
      <c r="G26" t="str">
        <v>9999</v>
      </c>
      <c r="H26" t="str">
        <v>-</v>
      </c>
      <c r="I26">
        <v>2</v>
      </c>
      <c r="J26">
        <v>0</v>
      </c>
      <c r="K26">
        <f>I26*J26</f>
      </c>
      <c r="L26" t="str">
        <v>ต่ำกว่าเกณฑ์</v>
      </c>
      <c r="M26" t="str">
        <v>ผู้จำหน่าย: บริจาค</v>
      </c>
    </row>
    <row r="27">
      <c r="A27">
        <v>22</v>
      </c>
      <c r="B27" t="str">
        <v>CS-NDL-22-1</v>
      </c>
      <c r="C27" t="str">
        <v>เข็มฉีดยาเบอร์ 22 ความยาว 1 นิ้ว</v>
      </c>
      <c r="D27" t="str">
        <v>เข็มฉีดยา</v>
      </c>
      <c r="E27" t="str">
        <v>กล่อง</v>
      </c>
      <c r="F27" t="str">
        <v>ศูนย์ฝึกทักษะการพยาบาล</v>
      </c>
      <c r="G27" t="str">
        <v>9999</v>
      </c>
      <c r="H27" t="str">
        <v>-</v>
      </c>
      <c r="I27">
        <v>2</v>
      </c>
      <c r="J27">
        <v>0</v>
      </c>
      <c r="K27">
        <f>I27*J27</f>
      </c>
      <c r="L27" t="str">
        <v>ต่ำกว่าเกณฑ์</v>
      </c>
      <c r="M27" t="str">
        <v>ผู้จำหน่าย: บริจาค</v>
      </c>
    </row>
    <row r="28">
      <c r="A28">
        <v>23</v>
      </c>
      <c r="B28" t="str">
        <v>CS-NDL-24-1</v>
      </c>
      <c r="C28" t="str">
        <v>เข็มฉีดยาเบอร์ 24 ความยาว 1 นิ้ว</v>
      </c>
      <c r="D28" t="str">
        <v>เข็มฉีดยา</v>
      </c>
      <c r="E28" t="str">
        <v>กล่อง</v>
      </c>
      <c r="F28" t="str">
        <v>ศูนย์ฝึกทักษะการพยาบาล</v>
      </c>
      <c r="G28" t="str">
        <v>อว 6501.38/1429</v>
      </c>
      <c r="H28" t="str">
        <v>-</v>
      </c>
      <c r="I28">
        <v>4</v>
      </c>
      <c r="J28">
        <v>65</v>
      </c>
      <c r="K28">
        <f>I28*J28</f>
      </c>
      <c r="L28" t="str">
        <v>ปกติ</v>
      </c>
      <c r="M28" t="str">
        <v>ผู้จำหน่าย: ร้านเพชรัตน์ ศิริราช (บริษัท โนเวลชายน์จำกัด สำนักงานใหญ่)</v>
      </c>
    </row>
    <row r="29">
      <c r="A29">
        <v>24</v>
      </c>
      <c r="B29" t="str">
        <v>CS-NDL-24-1</v>
      </c>
      <c r="C29" t="str">
        <v>เข็มฉีดยาเบอร์ 24 ความยาว 1 นิ้ว</v>
      </c>
      <c r="D29" t="str">
        <v>เข็มฉีดยา</v>
      </c>
      <c r="E29" t="str">
        <v>กล่อง</v>
      </c>
      <c r="F29" t="str">
        <v>ศูนย์ฝึกทักษะการพยาบาล</v>
      </c>
      <c r="G29" t="str">
        <v>9999</v>
      </c>
      <c r="H29" t="str">
        <v>-</v>
      </c>
      <c r="I29">
        <v>2</v>
      </c>
      <c r="J29">
        <v>0</v>
      </c>
      <c r="K29">
        <f>I29*J29</f>
      </c>
      <c r="L29" t="str">
        <v>ต่ำกว่าเกณฑ์</v>
      </c>
      <c r="M29" t="str">
        <v>ผู้จำหน่าย: บริจาค</v>
      </c>
    </row>
    <row r="30">
      <c r="A30">
        <v>25</v>
      </c>
      <c r="B30" t="str">
        <v>CS-NDL-24-15</v>
      </c>
      <c r="C30" t="str">
        <v>เข็มฉีดยาเบอร์ 24 ความยาว 1½ นิ้ว</v>
      </c>
      <c r="D30" t="str">
        <v>เข็มฉีดยา</v>
      </c>
      <c r="E30" t="str">
        <v>กล่อง</v>
      </c>
      <c r="F30" t="str">
        <v>ศูนย์ฝึกทักษะการพยาบาล</v>
      </c>
      <c r="G30" t="str">
        <v>อว 6501.38/1429</v>
      </c>
      <c r="H30" t="str">
        <v>-</v>
      </c>
      <c r="I30">
        <v>4</v>
      </c>
      <c r="J30">
        <v>65</v>
      </c>
      <c r="K30">
        <f>I30*J30</f>
      </c>
      <c r="L30" t="str">
        <v>ปกติ</v>
      </c>
      <c r="M30" t="str">
        <v>ผู้จำหน่าย: ร้านเพชรัตน์ ศิริราช (บริษัท โนเวลชายน์จำกัด สำนักงานใหญ่)</v>
      </c>
    </row>
    <row r="31">
      <c r="A31">
        <v>26</v>
      </c>
      <c r="B31" t="str">
        <v>CS-NDL-27-1</v>
      </c>
      <c r="C31" t="str">
        <v>เข็มฉีดยาเบอร์ 27 ความยาว 1 นิ้ว</v>
      </c>
      <c r="D31" t="str">
        <v>เข็มฉีดยา</v>
      </c>
      <c r="E31" t="str">
        <v>กล่อง</v>
      </c>
      <c r="F31" t="str">
        <v>ศูนย์ฝึกทักษะการพยาบาล</v>
      </c>
      <c r="G31" t="str">
        <v>อว 6501.38/1429</v>
      </c>
      <c r="H31" t="str">
        <v>-</v>
      </c>
      <c r="I31">
        <v>4</v>
      </c>
      <c r="J31">
        <v>65</v>
      </c>
      <c r="K31">
        <f>I31*J31</f>
      </c>
      <c r="L31" t="str">
        <v>ปกติ</v>
      </c>
      <c r="M31" t="str">
        <v>ผู้จำหน่าย: ร้านเพชรัตน์ ศิริราช (บริษัท โนเวลชายน์จำกัด สำนักงานใหญ่)</v>
      </c>
    </row>
    <row r="32">
      <c r="A32" t="str">
        <v/>
      </c>
      <c r="B32" t="str">
        <v/>
      </c>
      <c r="C32" t="str">
        <v>รวมมูลค่าทั้งสิ้น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>
        <f>SUM(I6:I31)</f>
      </c>
      <c r="J32" t="str">
        <v/>
      </c>
      <c r="K32">
        <f>SUM(K6:K31)</f>
      </c>
      <c r="L32" t="str">
        <v/>
      </c>
      <c r="M32" t="str">
        <v/>
      </c>
    </row>
    <row r="35">
      <c r="A35" t="str">
        <v/>
      </c>
      <c r="B35" t="str">
        <v>(ลงชื่อ) ..............................................................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>(ลงชื่อ) ..............................................................</v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/>
      </c>
      <c r="B36" t="str">
        <v xml:space="preserve">       (                                                      )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 xml:space="preserve">       (                                                      )</v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/>
      </c>
      <c r="B37" t="str">
        <v>ตำแหน่ง: เจ้าหน้าที่ห้องปฏิบัติการทางการพยาบาล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ตำแหน่ง: หัวหน้างานพัสดุและอาคารสถานที่ / ประธานกรรมการตรวจนับ</v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/>
      </c>
      <c r="B38" t="str">
        <v>วันที่: ...... / ...... / ..........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วันที่: ...... / ...... / ..........</v>
      </c>
      <c r="I38" t="str">
        <v/>
      </c>
      <c r="J38" t="str">
        <v/>
      </c>
      <c r="K38" t="str">
        <v/>
      </c>
      <c r="L38" t="str">
        <v/>
      </c>
      <c r="M38" t="str">
        <v/>
      </c>
    </row>
  </sheetData>
  <mergeCells count="3">
    <mergeCell ref="A1:M1"/>
    <mergeCell ref="A2:M2"/>
    <mergeCell ref="A3:M3"/>
  </mergeCells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บัญชีคุมวัสดุสิ้นเปลือง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